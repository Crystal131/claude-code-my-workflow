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 Steps" sheetId="1" state="visible" r:id="rId1"/>
    <sheet xmlns:r="http://schemas.openxmlformats.org/officeDocument/2006/relationships" name="Dataset 1 (examp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prior_ai_use_1to5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'SD Steps'!K1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'SD Steps'!$J$2:$J$6</f>
            </numRef>
          </cat>
          <val>
            <numRef>
              <f>'SD Steps'!$K$2:$K$6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 (1 = never, 5 = daily)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students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8" customWidth="1" min="4" max="4"/>
    <col width="15" customWidth="1" min="5" max="5"/>
    <col width="3" customWidth="1" min="6" max="6"/>
    <col width="34" customWidth="1" min="7" max="7"/>
    <col width="10" customWidth="1" min="8" max="8"/>
  </cols>
  <sheetData>
    <row r="1">
      <c r="A1" s="1" t="inlineStr">
        <is>
          <t>student_id</t>
        </is>
      </c>
      <c r="B1" s="1" t="inlineStr">
        <is>
          <t>prior_ai_use_1to5</t>
        </is>
      </c>
      <c r="C1" s="1" t="inlineStr">
        <is>
          <t>Step 1: x − mean</t>
        </is>
      </c>
      <c r="D1" s="1" t="inlineStr">
        <is>
          <t>Step 2: (x − mean)²</t>
        </is>
      </c>
      <c r="E1" s="1" t="inlineStr">
        <is>
          <t>Step 5: z-score</t>
        </is>
      </c>
      <c r="F1" s="1" t="n"/>
      <c r="G1" s="1" t="n"/>
      <c r="H1" s="1" t="n"/>
      <c r="J1" s="2" t="inlineStr">
        <is>
          <t>Rating</t>
        </is>
      </c>
      <c r="K1" s="2" t="inlineStr">
        <is>
          <t>Frequency</t>
        </is>
      </c>
    </row>
    <row r="2">
      <c r="A2" t="n">
        <v>1</v>
      </c>
      <c r="B2" t="n">
        <v>4</v>
      </c>
      <c r="C2" s="3">
        <f>B2-$H$2</f>
        <v/>
      </c>
      <c r="D2" s="3">
        <f>C2^2</f>
        <v/>
      </c>
      <c r="E2" s="3">
        <f>(B2-$H$2)/$H$8</f>
        <v/>
      </c>
      <c r="G2" t="inlineStr">
        <is>
          <t>Mean  =AVERAGE</t>
        </is>
      </c>
      <c r="H2" s="3">
        <f>AVERAGE(B2:B21)</f>
        <v/>
      </c>
      <c r="J2" t="n">
        <v>1</v>
      </c>
      <c r="K2">
        <f>COUNTIF($B$2:$B$21,J2)</f>
        <v/>
      </c>
    </row>
    <row r="3">
      <c r="A3" t="n">
        <v>2</v>
      </c>
      <c r="B3" t="n">
        <v>5</v>
      </c>
      <c r="C3" s="3">
        <f>B3-$H$2</f>
        <v/>
      </c>
      <c r="D3" s="3">
        <f>C3^2</f>
        <v/>
      </c>
      <c r="E3" s="3">
        <f>(B3-$H$2)/$H$8</f>
        <v/>
      </c>
      <c r="G3" t="inlineStr">
        <is>
          <t>Median  =MEDIAN</t>
        </is>
      </c>
      <c r="H3" s="3">
        <f>MEDIAN(B2:B21)</f>
        <v/>
      </c>
      <c r="J3" t="n">
        <v>2</v>
      </c>
      <c r="K3">
        <f>COUNTIF($B$2:$B$21,J3)</f>
        <v/>
      </c>
    </row>
    <row r="4">
      <c r="A4" t="n">
        <v>3</v>
      </c>
      <c r="B4" t="n">
        <v>3</v>
      </c>
      <c r="C4" s="3">
        <f>B4-$H$2</f>
        <v/>
      </c>
      <c r="D4" s="3">
        <f>C4^2</f>
        <v/>
      </c>
      <c r="E4" s="3">
        <f>(B4-$H$2)/$H$8</f>
        <v/>
      </c>
      <c r="G4" t="inlineStr">
        <is>
          <t>Mode  =MODE.SNGL</t>
        </is>
      </c>
      <c r="H4" s="3">
        <f>_xlfn.MODE.SNGL(B2:B21)</f>
        <v/>
      </c>
      <c r="J4" t="n">
        <v>3</v>
      </c>
      <c r="K4">
        <f>COUNTIF($B$2:$B$21,J4)</f>
        <v/>
      </c>
    </row>
    <row r="5">
      <c r="A5" t="n">
        <v>4</v>
      </c>
      <c r="B5" t="n">
        <v>4</v>
      </c>
      <c r="C5" s="3">
        <f>B5-$H$2</f>
        <v/>
      </c>
      <c r="D5" s="3">
        <f>C5^2</f>
        <v/>
      </c>
      <c r="E5" s="3">
        <f>(B5-$H$2)/$H$8</f>
        <v/>
      </c>
      <c r="G5" t="inlineStr">
        <is>
          <t>n  =COUNT</t>
        </is>
      </c>
      <c r="H5" s="3">
        <f>COUNT(B2:B21)</f>
        <v/>
      </c>
      <c r="J5" t="n">
        <v>4</v>
      </c>
      <c r="K5">
        <f>COUNTIF($B$2:$B$21,J5)</f>
        <v/>
      </c>
    </row>
    <row r="6">
      <c r="A6" t="n">
        <v>5</v>
      </c>
      <c r="B6" t="n">
        <v>2</v>
      </c>
      <c r="C6" s="3">
        <f>B6-$H$2</f>
        <v/>
      </c>
      <c r="D6" s="3">
        <f>C6^2</f>
        <v/>
      </c>
      <c r="E6" s="3">
        <f>(B6-$H$2)/$H$8</f>
        <v/>
      </c>
      <c r="G6" t="inlineStr">
        <is>
          <t>Step 3: Sum of squares =SUM</t>
        </is>
      </c>
      <c r="H6" s="3">
        <f>SUM(D2:D21)</f>
        <v/>
      </c>
      <c r="J6" t="n">
        <v>5</v>
      </c>
      <c r="K6">
        <f>COUNTIF($B$2:$B$21,J6)</f>
        <v/>
      </c>
    </row>
    <row r="7">
      <c r="A7" t="n">
        <v>6</v>
      </c>
      <c r="B7" t="n">
        <v>4</v>
      </c>
      <c r="C7" s="3">
        <f>B7-$H$2</f>
        <v/>
      </c>
      <c r="D7" s="3">
        <f>C7^2</f>
        <v/>
      </c>
      <c r="E7" s="3">
        <f>(B7-$H$2)/$H$8</f>
        <v/>
      </c>
      <c r="G7" t="inlineStr">
        <is>
          <t>Step 4a: Variance = SS/(n−1)</t>
        </is>
      </c>
      <c r="H7" s="3">
        <f>H6/(H5-1)</f>
        <v/>
      </c>
    </row>
    <row r="8">
      <c r="A8" t="n">
        <v>7</v>
      </c>
      <c r="B8" t="n">
        <v>1</v>
      </c>
      <c r="C8" s="3">
        <f>B8-$H$2</f>
        <v/>
      </c>
      <c r="D8" s="3">
        <f>C8^2</f>
        <v/>
      </c>
      <c r="E8" s="3">
        <f>(B8-$H$2)/$H$8</f>
        <v/>
      </c>
      <c r="G8" t="inlineStr">
        <is>
          <t>Step 4b: SD = SQRT(variance)</t>
        </is>
      </c>
      <c r="H8" s="3">
        <f>SQRT(H7)</f>
        <v/>
      </c>
    </row>
    <row r="9">
      <c r="A9" t="n">
        <v>8</v>
      </c>
      <c r="B9" t="n">
        <v>5</v>
      </c>
      <c r="C9" s="3">
        <f>B9-$H$2</f>
        <v/>
      </c>
      <c r="D9" s="3">
        <f>C9^2</f>
        <v/>
      </c>
      <c r="E9" s="3">
        <f>(B9-$H$2)/$H$8</f>
        <v/>
      </c>
      <c r="G9" t="inlineStr">
        <is>
          <t>Check: =VAR.S</t>
        </is>
      </c>
      <c r="H9" s="3">
        <f>_xlfn.VAR.S(B2:B21)</f>
        <v/>
      </c>
    </row>
    <row r="10">
      <c r="A10" t="n">
        <v>9</v>
      </c>
      <c r="B10" t="n">
        <v>4</v>
      </c>
      <c r="C10" s="3">
        <f>B10-$H$2</f>
        <v/>
      </c>
      <c r="D10" s="3">
        <f>C10^2</f>
        <v/>
      </c>
      <c r="E10" s="3">
        <f>(B10-$H$2)/$H$8</f>
        <v/>
      </c>
      <c r="G10" t="inlineStr">
        <is>
          <t>Check: =STDEV.S</t>
        </is>
      </c>
      <c r="H10" s="3">
        <f>_xlfn.STDEV.S(B2:B21)</f>
        <v/>
      </c>
    </row>
    <row r="11">
      <c r="A11" t="n">
        <v>10</v>
      </c>
      <c r="B11" t="n">
        <v>3</v>
      </c>
      <c r="C11" s="3">
        <f>B11-$H$2</f>
        <v/>
      </c>
      <c r="D11" s="3">
        <f>C11^2</f>
        <v/>
      </c>
      <c r="E11" s="3">
        <f>(B11-$H$2)/$H$8</f>
        <v/>
      </c>
      <c r="G11" t="inlineStr">
        <is>
          <t>Check: =STANDARDIZE for student 1</t>
        </is>
      </c>
      <c r="H11" s="3">
        <f>STANDARDIZE(B2,H2,H8)</f>
        <v/>
      </c>
    </row>
    <row r="12">
      <c r="A12" t="n">
        <v>11</v>
      </c>
      <c r="B12" t="n">
        <v>4</v>
      </c>
      <c r="C12" s="3">
        <f>B12-$H$2</f>
        <v/>
      </c>
      <c r="D12" s="3">
        <f>C12^2</f>
        <v/>
      </c>
      <c r="E12" s="3">
        <f>(B12-$H$2)/$H$8</f>
        <v/>
      </c>
    </row>
    <row r="13">
      <c r="A13" t="n">
        <v>12</v>
      </c>
      <c r="B13" t="n">
        <v>2</v>
      </c>
      <c r="C13" s="3">
        <f>B13-$H$2</f>
        <v/>
      </c>
      <c r="D13" s="3">
        <f>C13^2</f>
        <v/>
      </c>
      <c r="E13" s="3">
        <f>(B13-$H$2)/$H$8</f>
        <v/>
      </c>
    </row>
    <row r="14">
      <c r="A14" t="n">
        <v>13</v>
      </c>
      <c r="B14" t="n">
        <v>5</v>
      </c>
      <c r="C14" s="3">
        <f>B14-$H$2</f>
        <v/>
      </c>
      <c r="D14" s="3">
        <f>C14^2</f>
        <v/>
      </c>
      <c r="E14" s="3">
        <f>(B14-$H$2)/$H$8</f>
        <v/>
      </c>
    </row>
    <row r="15">
      <c r="A15" t="n">
        <v>14</v>
      </c>
      <c r="B15" t="n">
        <v>3</v>
      </c>
      <c r="C15" s="3">
        <f>B15-$H$2</f>
        <v/>
      </c>
      <c r="D15" s="3">
        <f>C15^2</f>
        <v/>
      </c>
      <c r="E15" s="3">
        <f>(B15-$H$2)/$H$8</f>
        <v/>
      </c>
    </row>
    <row r="16">
      <c r="A16" t="n">
        <v>15</v>
      </c>
      <c r="B16" t="n">
        <v>4</v>
      </c>
      <c r="C16" s="3">
        <f>B16-$H$2</f>
        <v/>
      </c>
      <c r="D16" s="3">
        <f>C16^2</f>
        <v/>
      </c>
      <c r="E16" s="3">
        <f>(B16-$H$2)/$H$8</f>
        <v/>
      </c>
    </row>
    <row r="17">
      <c r="A17" t="n">
        <v>16</v>
      </c>
      <c r="B17" t="n">
        <v>1</v>
      </c>
      <c r="C17" s="3">
        <f>B17-$H$2</f>
        <v/>
      </c>
      <c r="D17" s="3">
        <f>C17^2</f>
        <v/>
      </c>
      <c r="E17" s="3">
        <f>(B17-$H$2)/$H$8</f>
        <v/>
      </c>
    </row>
    <row r="18">
      <c r="A18" t="n">
        <v>17</v>
      </c>
      <c r="B18" t="n">
        <v>4</v>
      </c>
      <c r="C18" s="3">
        <f>B18-$H$2</f>
        <v/>
      </c>
      <c r="D18" s="3">
        <f>C18^2</f>
        <v/>
      </c>
      <c r="E18" s="3">
        <f>(B18-$H$2)/$H$8</f>
        <v/>
      </c>
    </row>
    <row r="19">
      <c r="A19" t="n">
        <v>18</v>
      </c>
      <c r="B19" t="n">
        <v>5</v>
      </c>
      <c r="C19" s="3">
        <f>B19-$H$2</f>
        <v/>
      </c>
      <c r="D19" s="3">
        <f>C19^2</f>
        <v/>
      </c>
      <c r="E19" s="3">
        <f>(B19-$H$2)/$H$8</f>
        <v/>
      </c>
    </row>
    <row r="20">
      <c r="A20" t="n">
        <v>19</v>
      </c>
      <c r="B20" t="n">
        <v>2</v>
      </c>
      <c r="C20" s="3">
        <f>B20-$H$2</f>
        <v/>
      </c>
      <c r="D20" s="3">
        <f>C20^2</f>
        <v/>
      </c>
      <c r="E20" s="3">
        <f>(B20-$H$2)/$H$8</f>
        <v/>
      </c>
    </row>
    <row r="21">
      <c r="A21" t="n">
        <v>20</v>
      </c>
      <c r="B21" t="n">
        <v>3</v>
      </c>
      <c r="C21" s="3">
        <f>B21-$H$2</f>
        <v/>
      </c>
      <c r="D21" s="3">
        <f>C21^2</f>
        <v/>
      </c>
      <c r="E21" s="3">
        <f>(B21-$H$2)/$H$8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2" max="2"/>
    <col width="15" customWidth="1" min="3" max="3"/>
    <col width="17" customWidth="1" min="5" max="5"/>
    <col width="18" customWidth="1" min="6" max="6"/>
  </cols>
  <sheetData>
    <row r="1">
      <c r="A1" s="2" t="inlineStr">
        <is>
          <t>student_id</t>
        </is>
      </c>
      <c r="B1" s="2" t="inlineStr">
        <is>
          <t>major</t>
        </is>
      </c>
      <c r="C1" s="2" t="inlineStr">
        <is>
          <t>class_standing</t>
        </is>
      </c>
      <c r="D1" s="2" t="inlineStr">
        <is>
          <t>birth_year</t>
        </is>
      </c>
      <c r="E1" s="2" t="inlineStr">
        <is>
          <t>study_hours_week</t>
        </is>
      </c>
      <c r="F1" s="2" t="inlineStr">
        <is>
          <t>prior_ai_use_1to5</t>
        </is>
      </c>
    </row>
    <row r="2">
      <c r="A2" t="n">
        <v>1</v>
      </c>
      <c r="B2" t="inlineStr">
        <is>
          <t>Business</t>
        </is>
      </c>
      <c r="C2" t="inlineStr">
        <is>
          <t>Junior</t>
        </is>
      </c>
      <c r="D2" t="n">
        <v>2004</v>
      </c>
      <c r="E2" t="n">
        <v>6</v>
      </c>
      <c r="F2" t="n">
        <v>4</v>
      </c>
    </row>
    <row r="3">
      <c r="A3" t="n">
        <v>2</v>
      </c>
      <c r="B3" t="inlineStr">
        <is>
          <t>Nursing</t>
        </is>
      </c>
      <c r="C3" t="inlineStr">
        <is>
          <t>Senior</t>
        </is>
      </c>
      <c r="D3" t="n">
        <v>2003</v>
      </c>
      <c r="E3" t="n">
        <v>10</v>
      </c>
      <c r="F3" t="n">
        <v>5</v>
      </c>
    </row>
    <row r="4">
      <c r="A4" t="n">
        <v>3</v>
      </c>
      <c r="B4" t="inlineStr">
        <is>
          <t>CS</t>
        </is>
      </c>
      <c r="C4" t="inlineStr">
        <is>
          <t>Sophomore</t>
        </is>
      </c>
      <c r="D4" t="n">
        <v>2005</v>
      </c>
      <c r="E4" t="n">
        <v>4</v>
      </c>
      <c r="F4" t="n">
        <v>3</v>
      </c>
    </row>
    <row r="5">
      <c r="A5" t="n">
        <v>4</v>
      </c>
      <c r="B5" t="inlineStr">
        <is>
          <t>Psychology</t>
        </is>
      </c>
      <c r="C5" t="inlineStr">
        <is>
          <t>Junior</t>
        </is>
      </c>
      <c r="D5" t="n">
        <v>2004</v>
      </c>
      <c r="E5" t="n">
        <v>8</v>
      </c>
      <c r="F5" t="n">
        <v>4</v>
      </c>
    </row>
    <row r="6">
      <c r="A6" t="n">
        <v>5</v>
      </c>
      <c r="B6" t="inlineStr">
        <is>
          <t>Business</t>
        </is>
      </c>
      <c r="C6" t="inlineStr">
        <is>
          <t>Freshman</t>
        </is>
      </c>
      <c r="D6" t="n">
        <v>2006</v>
      </c>
      <c r="E6" t="n">
        <v>2</v>
      </c>
      <c r="F6" t="n">
        <v>2</v>
      </c>
    </row>
    <row r="7">
      <c r="A7" t="n">
        <v>6</v>
      </c>
      <c r="B7" t="inlineStr">
        <is>
          <t>CS</t>
        </is>
      </c>
      <c r="C7" t="inlineStr">
        <is>
          <t>Senior</t>
        </is>
      </c>
      <c r="D7" t="n">
        <v>2002</v>
      </c>
      <c r="E7" t="n">
        <v>7</v>
      </c>
      <c r="F7" t="n">
        <v>4</v>
      </c>
    </row>
    <row r="8">
      <c r="A8" t="n">
        <v>7</v>
      </c>
      <c r="B8" t="inlineStr">
        <is>
          <t>Education</t>
        </is>
      </c>
      <c r="C8" t="inlineStr">
        <is>
          <t>Freshman</t>
        </is>
      </c>
      <c r="D8" t="n">
        <v>2006</v>
      </c>
      <c r="E8" t="n">
        <v>0</v>
      </c>
      <c r="F8" t="n">
        <v>1</v>
      </c>
    </row>
    <row r="9">
      <c r="A9" t="n">
        <v>8</v>
      </c>
      <c r="B9" t="inlineStr">
        <is>
          <t>CS</t>
        </is>
      </c>
      <c r="C9" t="inlineStr">
        <is>
          <t>Junior</t>
        </is>
      </c>
      <c r="D9" t="n">
        <v>2004</v>
      </c>
      <c r="E9" t="n">
        <v>12</v>
      </c>
      <c r="F9" t="n">
        <v>5</v>
      </c>
    </row>
    <row r="10">
      <c r="A10" t="n">
        <v>9</v>
      </c>
      <c r="B10" t="inlineStr">
        <is>
          <t>Nursing</t>
        </is>
      </c>
      <c r="C10" t="inlineStr">
        <is>
          <t>Sophomore</t>
        </is>
      </c>
      <c r="D10" t="n">
        <v>2005</v>
      </c>
      <c r="E10" t="n">
        <v>5</v>
      </c>
      <c r="F10" t="n">
        <v>4</v>
      </c>
    </row>
    <row r="11">
      <c r="A11" t="n">
        <v>10</v>
      </c>
      <c r="B11" t="inlineStr">
        <is>
          <t>Psychology</t>
        </is>
      </c>
      <c r="C11" t="inlineStr">
        <is>
          <t>Senior</t>
        </is>
      </c>
      <c r="D11" t="n">
        <v>2003</v>
      </c>
      <c r="E11" t="n">
        <v>3</v>
      </c>
      <c r="F11" t="n">
        <v>3</v>
      </c>
    </row>
    <row r="12">
      <c r="A12" t="n">
        <v>11</v>
      </c>
      <c r="B12" t="inlineStr">
        <is>
          <t>Business</t>
        </is>
      </c>
      <c r="C12" t="inlineStr">
        <is>
          <t>Junior</t>
        </is>
      </c>
      <c r="D12" t="n">
        <v>2004</v>
      </c>
      <c r="E12" t="n">
        <v>9</v>
      </c>
      <c r="F12" t="n">
        <v>4</v>
      </c>
    </row>
    <row r="13">
      <c r="A13" t="n">
        <v>12</v>
      </c>
      <c r="B13" t="inlineStr">
        <is>
          <t>Education</t>
        </is>
      </c>
      <c r="C13" t="inlineStr">
        <is>
          <t>Freshman</t>
        </is>
      </c>
      <c r="D13" t="n">
        <v>2006</v>
      </c>
      <c r="E13" t="n">
        <v>1</v>
      </c>
      <c r="F13" t="n">
        <v>2</v>
      </c>
    </row>
    <row r="14">
      <c r="A14" t="n">
        <v>13</v>
      </c>
      <c r="B14" t="inlineStr">
        <is>
          <t>CS</t>
        </is>
      </c>
      <c r="C14" t="inlineStr">
        <is>
          <t>Senior</t>
        </is>
      </c>
      <c r="D14" t="n">
        <v>2003</v>
      </c>
      <c r="E14" t="n">
        <v>11</v>
      </c>
      <c r="F14" t="n">
        <v>5</v>
      </c>
    </row>
    <row r="15">
      <c r="A15" t="n">
        <v>14</v>
      </c>
      <c r="B15" t="inlineStr">
        <is>
          <t>Nursing</t>
        </is>
      </c>
      <c r="C15" t="inlineStr">
        <is>
          <t>Sophomore</t>
        </is>
      </c>
      <c r="D15" t="n">
        <v>2005</v>
      </c>
      <c r="E15" t="n">
        <v>4</v>
      </c>
      <c r="F15" t="n">
        <v>3</v>
      </c>
    </row>
    <row r="16">
      <c r="A16" t="n">
        <v>15</v>
      </c>
      <c r="B16" t="inlineStr">
        <is>
          <t>Psychology</t>
        </is>
      </c>
      <c r="C16" t="inlineStr">
        <is>
          <t>Junior</t>
        </is>
      </c>
      <c r="D16" t="n">
        <v>2004</v>
      </c>
      <c r="E16" t="n">
        <v>6</v>
      </c>
      <c r="F16" t="n">
        <v>4</v>
      </c>
    </row>
    <row r="17">
      <c r="A17" t="n">
        <v>16</v>
      </c>
      <c r="B17" t="inlineStr">
        <is>
          <t>Education</t>
        </is>
      </c>
      <c r="C17" t="inlineStr">
        <is>
          <t>Freshman</t>
        </is>
      </c>
      <c r="D17" t="n">
        <v>2006</v>
      </c>
      <c r="E17" t="n">
        <v>0</v>
      </c>
      <c r="F17" t="n">
        <v>1</v>
      </c>
    </row>
    <row r="18">
      <c r="A18" t="n">
        <v>17</v>
      </c>
      <c r="B18" t="inlineStr">
        <is>
          <t>Business</t>
        </is>
      </c>
      <c r="C18" t="inlineStr">
        <is>
          <t>Senior</t>
        </is>
      </c>
      <c r="D18" t="n">
        <v>2002</v>
      </c>
      <c r="E18" t="n">
        <v>8</v>
      </c>
      <c r="F18" t="n">
        <v>4</v>
      </c>
    </row>
    <row r="19">
      <c r="A19" t="n">
        <v>18</v>
      </c>
      <c r="B19" t="inlineStr">
        <is>
          <t>CS</t>
        </is>
      </c>
      <c r="C19" t="inlineStr">
        <is>
          <t>Junior</t>
        </is>
      </c>
      <c r="D19" t="n">
        <v>2004</v>
      </c>
      <c r="E19" t="n">
        <v>10</v>
      </c>
      <c r="F19" t="n">
        <v>5</v>
      </c>
    </row>
    <row r="20">
      <c r="A20" t="n">
        <v>19</v>
      </c>
      <c r="B20" t="inlineStr">
        <is>
          <t>Nursing</t>
        </is>
      </c>
      <c r="C20" t="inlineStr">
        <is>
          <t>Sophomore</t>
        </is>
      </c>
      <c r="D20" t="n">
        <v>2005</v>
      </c>
      <c r="E20" t="n">
        <v>2</v>
      </c>
      <c r="F20" t="n">
        <v>2</v>
      </c>
    </row>
    <row r="21">
      <c r="A21" t="n">
        <v>20</v>
      </c>
      <c r="B21" t="inlineStr">
        <is>
          <t>Psychology</t>
        </is>
      </c>
      <c r="C21" t="inlineStr">
        <is>
          <t>Senior</t>
        </is>
      </c>
      <c r="D21" t="n">
        <v>2003</v>
      </c>
      <c r="E21" t="n">
        <v>5</v>
      </c>
      <c r="F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2026-09-28T15:43:04Z</dcterms:created>
  <dcterms:modified xmlns:dcterms="http://purl.org/dc/terms/" xmlns:xsi="http://www.w3.org/2001/XMLSchema-instance" xsi:type="dcterms:W3CDTF">2026-09-28T15:47:13Z</dcterms:modified>
</cp:coreProperties>
</file>